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erna\Documents\example\exampleApp\common\"/>
    </mc:Choice>
  </mc:AlternateContent>
  <xr:revisionPtr revIDLastSave="0" documentId="13_ncr:1_{51B0FF30-DD20-4A09-A07F-4948C26D2CBD}" xr6:coauthVersionLast="47" xr6:coauthVersionMax="47" xr10:uidLastSave="{00000000-0000-0000-0000-000000000000}"/>
  <bookViews>
    <workbookView xWindow="-108" yWindow="-108" windowWidth="23256" windowHeight="12456" xr2:uid="{688D002A-5C66-4E4E-BA6E-344EF41798E2}"/>
  </bookViews>
  <sheets>
    <sheet name="Iron 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F36" i="1"/>
  <c r="F42" i="1"/>
  <c r="F25" i="1"/>
  <c r="F19" i="1"/>
  <c r="F27" i="1"/>
  <c r="F31" i="1"/>
  <c r="F40" i="1"/>
  <c r="F22" i="1"/>
  <c r="F43" i="1"/>
  <c r="F39" i="1"/>
  <c r="J8" i="4"/>
  <c r="J9" i="4"/>
  <c r="J11" i="4"/>
  <c r="E11" i="4"/>
  <c r="G18" i="3"/>
  <c r="G17" i="3"/>
  <c r="G16" i="3"/>
  <c r="F16" i="3"/>
  <c r="E17" i="3"/>
  <c r="E16" i="3"/>
  <c r="N16" i="3"/>
  <c r="N15" i="3"/>
  <c r="N12" i="3"/>
  <c r="N13" i="3" s="1"/>
  <c r="M12" i="3"/>
  <c r="L12" i="3"/>
  <c r="K12" i="3"/>
  <c r="J12" i="3"/>
  <c r="I12" i="3"/>
  <c r="H12" i="3"/>
  <c r="G12" i="3"/>
  <c r="F12" i="3"/>
  <c r="E12" i="3"/>
  <c r="D12" i="3"/>
  <c r="C12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E10" i="2"/>
  <c r="E59" i="2"/>
  <c r="E58" i="2"/>
  <c r="E57" i="2"/>
  <c r="E56" i="2"/>
  <c r="H10" i="2" s="1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H8" i="2"/>
  <c r="H7" i="2"/>
  <c r="E9" i="2"/>
  <c r="E8" i="2"/>
  <c r="F16" i="1"/>
  <c r="F38" i="1"/>
  <c r="F17" i="1"/>
  <c r="F18" i="1"/>
  <c r="F32" i="1"/>
  <c r="F23" i="1"/>
  <c r="F15" i="1"/>
  <c r="F51" i="1"/>
  <c r="F47" i="1"/>
  <c r="F29" i="1"/>
  <c r="F55" i="1"/>
  <c r="F54" i="1"/>
  <c r="F53" i="1"/>
  <c r="F52" i="1"/>
  <c r="F50" i="1"/>
  <c r="F49" i="1"/>
  <c r="F48" i="1"/>
  <c r="F46" i="1"/>
  <c r="F45" i="1"/>
  <c r="F44" i="1"/>
  <c r="F37" i="1"/>
  <c r="F35" i="1"/>
  <c r="F33" i="1"/>
  <c r="F30" i="1"/>
  <c r="F28" i="1"/>
  <c r="F26" i="1"/>
</calcChain>
</file>

<file path=xl/sharedStrings.xml><?xml version="1.0" encoding="utf-8"?>
<sst xmlns="http://schemas.openxmlformats.org/spreadsheetml/2006/main" count="23" uniqueCount="22">
  <si>
    <t>Lenght</t>
  </si>
  <si>
    <t>Trophies</t>
  </si>
  <si>
    <t>% From</t>
  </si>
  <si>
    <t>% To</t>
  </si>
  <si>
    <t>Stars</t>
  </si>
  <si>
    <t>9.223.372.036.854.775.807</t>
  </si>
  <si>
    <t>Board</t>
  </si>
  <si>
    <t>u128</t>
  </si>
  <si>
    <t>Name</t>
  </si>
  <si>
    <t>Type</t>
  </si>
  <si>
    <t>Best Outcome</t>
  </si>
  <si>
    <t>u8</t>
  </si>
  <si>
    <t>Know all?</t>
  </si>
  <si>
    <t>bool</t>
  </si>
  <si>
    <t>pointers</t>
  </si>
  <si>
    <t>u32[10]</t>
  </si>
  <si>
    <t>Byte Size</t>
  </si>
  <si>
    <t>No indicative to the 6 possibilities</t>
  </si>
  <si>
    <t>What I need</t>
  </si>
  <si>
    <t>-&gt;</t>
  </si>
  <si>
    <t>8*14=</t>
  </si>
  <si>
    <t>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</si>
</sst>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64" fontId="0" fillId="0" borderId="0" xfId="1" quotePrefix="1" applyFont="1" applyAlignment="1">
      <alignment horizontal="right"/>
    </xf>
    <xf numFmtId="0" fontId="2" fillId="0" borderId="0" xfId="0" applyFont="1"/>
    <xf numFmtId="166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E15A-0481-4FDC-A041-EE171ACFB67A}">
  <dimension ref="B14:F55"/>
  <sheetViews>
    <sheetView tabSelected="1" topLeftCell="A20" workbookViewId="0">
      <selection activeCell="F23" sqref="F23"/>
    </sheetView>
  </sheetViews>
  <sheetFormatPr defaultRowHeight="14.4" x14ac:dyDescent="0.3"/>
  <sheetData>
    <row r="14" spans="2:6" x14ac:dyDescent="0.3">
      <c r="B14" s="7" t="s">
        <v>4</v>
      </c>
      <c r="C14" s="7" t="s">
        <v>2</v>
      </c>
      <c r="D14" s="7" t="s">
        <v>3</v>
      </c>
      <c r="E14" s="7" t="s">
        <v>1</v>
      </c>
      <c r="F14" s="7" t="s">
        <v>0</v>
      </c>
    </row>
    <row r="15" spans="2:6" x14ac:dyDescent="0.3">
      <c r="B15" s="7">
        <v>0</v>
      </c>
      <c r="C15" s="7">
        <v>0</v>
      </c>
      <c r="D15" s="7">
        <v>4</v>
      </c>
      <c r="E15" s="7">
        <v>0</v>
      </c>
      <c r="F15" s="7">
        <f>D15+1-C15</f>
        <v>5</v>
      </c>
    </row>
    <row r="16" spans="2:6" x14ac:dyDescent="0.3">
      <c r="B16" s="7">
        <v>0</v>
      </c>
      <c r="C16" s="7">
        <v>18</v>
      </c>
      <c r="D16" s="7">
        <v>22</v>
      </c>
      <c r="E16" s="7">
        <v>1</v>
      </c>
      <c r="F16" s="7">
        <f>D16+1-C16</f>
        <v>5</v>
      </c>
    </row>
    <row r="17" spans="2:6" x14ac:dyDescent="0.3">
      <c r="B17" s="7">
        <v>0</v>
      </c>
      <c r="C17" s="7">
        <v>29</v>
      </c>
      <c r="D17" s="7">
        <v>29</v>
      </c>
      <c r="E17" s="7">
        <v>2</v>
      </c>
      <c r="F17" s="7">
        <f>D17+1-C17</f>
        <v>1</v>
      </c>
    </row>
    <row r="18" spans="2:6" x14ac:dyDescent="0.3">
      <c r="B18" s="7">
        <v>0</v>
      </c>
      <c r="C18" s="7">
        <v>43</v>
      </c>
      <c r="D18" s="7">
        <v>47</v>
      </c>
      <c r="E18" s="7">
        <v>3</v>
      </c>
      <c r="F18" s="7">
        <f>D18+1-C18</f>
        <v>5</v>
      </c>
    </row>
    <row r="19" spans="2:6" x14ac:dyDescent="0.3">
      <c r="B19" s="7">
        <v>1</v>
      </c>
      <c r="C19" s="7">
        <v>4</v>
      </c>
      <c r="D19" s="7">
        <v>12</v>
      </c>
      <c r="E19" s="7">
        <v>4</v>
      </c>
      <c r="F19" s="7">
        <f>D19+1-C19</f>
        <v>9</v>
      </c>
    </row>
    <row r="20" spans="2:6" x14ac:dyDescent="0.3">
      <c r="B20" s="7">
        <v>1</v>
      </c>
      <c r="C20" s="7"/>
      <c r="D20" s="7"/>
      <c r="E20" s="7">
        <v>5</v>
      </c>
      <c r="F20" s="7"/>
    </row>
    <row r="21" spans="2:6" x14ac:dyDescent="0.3">
      <c r="B21" s="7">
        <v>1</v>
      </c>
      <c r="C21" s="7"/>
      <c r="D21" s="7"/>
      <c r="E21" s="7">
        <v>6</v>
      </c>
      <c r="F21" s="7"/>
    </row>
    <row r="22" spans="2:6" x14ac:dyDescent="0.3">
      <c r="B22" s="7">
        <v>1</v>
      </c>
      <c r="C22" s="7">
        <v>50</v>
      </c>
      <c r="D22" s="7">
        <v>54</v>
      </c>
      <c r="E22" s="7">
        <v>7</v>
      </c>
      <c r="F22" s="7">
        <f>D22+1-C22</f>
        <v>5</v>
      </c>
    </row>
    <row r="23" spans="2:6" x14ac:dyDescent="0.3">
      <c r="B23" s="7">
        <v>1</v>
      </c>
      <c r="C23" s="7">
        <v>61</v>
      </c>
      <c r="D23" s="7">
        <v>75</v>
      </c>
      <c r="E23" s="7">
        <v>8</v>
      </c>
      <c r="F23" s="7">
        <f>D23+1-C23</f>
        <v>15</v>
      </c>
    </row>
    <row r="24" spans="2:6" x14ac:dyDescent="0.3">
      <c r="B24" s="7">
        <v>1</v>
      </c>
      <c r="C24" s="7">
        <v>79</v>
      </c>
      <c r="D24" s="7">
        <v>79</v>
      </c>
      <c r="E24" s="7">
        <v>9</v>
      </c>
      <c r="F24" s="7">
        <f>D24+1-C24</f>
        <v>1</v>
      </c>
    </row>
    <row r="25" spans="2:6" x14ac:dyDescent="0.3">
      <c r="B25" s="7">
        <v>1</v>
      </c>
      <c r="C25" s="7">
        <v>97</v>
      </c>
      <c r="D25" s="7">
        <v>97</v>
      </c>
      <c r="E25" s="7">
        <v>10</v>
      </c>
      <c r="F25" s="7">
        <f>D25+1-C25</f>
        <v>1</v>
      </c>
    </row>
    <row r="26" spans="2:6" x14ac:dyDescent="0.3">
      <c r="B26" s="7">
        <v>2</v>
      </c>
      <c r="C26" s="7">
        <v>50</v>
      </c>
      <c r="D26" s="7">
        <v>54</v>
      </c>
      <c r="E26" s="7">
        <v>11</v>
      </c>
      <c r="F26" s="7">
        <f>D26+1-C26</f>
        <v>5</v>
      </c>
    </row>
    <row r="27" spans="2:6" x14ac:dyDescent="0.3">
      <c r="B27" s="7">
        <v>2</v>
      </c>
      <c r="C27" s="7">
        <v>58</v>
      </c>
      <c r="D27" s="7">
        <v>61</v>
      </c>
      <c r="E27" s="7">
        <v>12</v>
      </c>
      <c r="F27" s="7">
        <f>D27+1-C27</f>
        <v>4</v>
      </c>
    </row>
    <row r="28" spans="2:6" x14ac:dyDescent="0.3">
      <c r="B28" s="7">
        <v>2</v>
      </c>
      <c r="C28" s="7">
        <v>63</v>
      </c>
      <c r="D28" s="7">
        <v>67</v>
      </c>
      <c r="E28" s="7">
        <v>13</v>
      </c>
      <c r="F28" s="7">
        <f t="shared" ref="F28:F55" si="0">D28+1-C28</f>
        <v>5</v>
      </c>
    </row>
    <row r="29" spans="2:6" x14ac:dyDescent="0.3">
      <c r="B29" s="7">
        <v>2</v>
      </c>
      <c r="C29" s="7">
        <v>68</v>
      </c>
      <c r="D29" s="7">
        <v>72</v>
      </c>
      <c r="E29" s="7">
        <v>14</v>
      </c>
      <c r="F29" s="7">
        <f t="shared" si="0"/>
        <v>5</v>
      </c>
    </row>
    <row r="30" spans="2:6" x14ac:dyDescent="0.3">
      <c r="B30" s="7">
        <v>2</v>
      </c>
      <c r="C30" s="7">
        <v>75</v>
      </c>
      <c r="D30" s="7">
        <v>79</v>
      </c>
      <c r="E30" s="7">
        <v>15</v>
      </c>
      <c r="F30" s="7">
        <f t="shared" si="0"/>
        <v>5</v>
      </c>
    </row>
    <row r="31" spans="2:6" x14ac:dyDescent="0.3">
      <c r="B31" s="7">
        <v>2</v>
      </c>
      <c r="C31" s="7">
        <v>83</v>
      </c>
      <c r="D31" s="7">
        <v>83</v>
      </c>
      <c r="E31" s="7">
        <v>16</v>
      </c>
      <c r="F31" s="7">
        <f t="shared" si="0"/>
        <v>1</v>
      </c>
    </row>
    <row r="32" spans="2:6" x14ac:dyDescent="0.3">
      <c r="B32" s="7">
        <v>2</v>
      </c>
      <c r="C32" s="7">
        <v>86</v>
      </c>
      <c r="D32" s="7">
        <v>90</v>
      </c>
      <c r="E32" s="7">
        <v>17</v>
      </c>
      <c r="F32" s="7">
        <f t="shared" si="0"/>
        <v>5</v>
      </c>
    </row>
    <row r="33" spans="2:6" x14ac:dyDescent="0.3">
      <c r="B33" s="7">
        <v>2</v>
      </c>
      <c r="C33" s="7">
        <v>93</v>
      </c>
      <c r="D33" s="7">
        <v>97</v>
      </c>
      <c r="E33" s="7">
        <v>18</v>
      </c>
      <c r="F33" s="7">
        <f t="shared" si="0"/>
        <v>5</v>
      </c>
    </row>
    <row r="34" spans="2:6" x14ac:dyDescent="0.3">
      <c r="B34" s="7"/>
      <c r="C34" s="7"/>
      <c r="D34" s="7"/>
      <c r="E34" s="7"/>
      <c r="F34" s="7"/>
    </row>
    <row r="35" spans="2:6" x14ac:dyDescent="0.3">
      <c r="B35" s="7">
        <v>3</v>
      </c>
      <c r="C35" s="7">
        <v>100</v>
      </c>
      <c r="D35" s="7">
        <v>104</v>
      </c>
      <c r="E35" s="7">
        <v>20</v>
      </c>
      <c r="F35" s="7">
        <f t="shared" si="0"/>
        <v>5</v>
      </c>
    </row>
    <row r="36" spans="2:6" x14ac:dyDescent="0.3">
      <c r="B36" s="7">
        <v>3</v>
      </c>
      <c r="C36" s="7">
        <v>116</v>
      </c>
      <c r="D36" s="7">
        <v>116</v>
      </c>
      <c r="E36" s="7">
        <v>21</v>
      </c>
      <c r="F36" s="7">
        <f t="shared" si="0"/>
        <v>1</v>
      </c>
    </row>
    <row r="37" spans="2:6" x14ac:dyDescent="0.3">
      <c r="B37" s="7">
        <v>3</v>
      </c>
      <c r="C37" s="7">
        <v>120</v>
      </c>
      <c r="D37" s="7">
        <v>124</v>
      </c>
      <c r="E37" s="7">
        <v>22</v>
      </c>
      <c r="F37" s="7">
        <f t="shared" si="0"/>
        <v>5</v>
      </c>
    </row>
    <row r="38" spans="2:6" x14ac:dyDescent="0.3">
      <c r="B38" s="7">
        <v>3</v>
      </c>
      <c r="C38" s="7">
        <v>131</v>
      </c>
      <c r="D38" s="7">
        <v>135</v>
      </c>
      <c r="E38" s="7">
        <v>23</v>
      </c>
      <c r="F38" s="7">
        <f t="shared" si="0"/>
        <v>5</v>
      </c>
    </row>
    <row r="39" spans="2:6" x14ac:dyDescent="0.3">
      <c r="B39" s="7">
        <v>3</v>
      </c>
      <c r="C39" s="7">
        <v>139</v>
      </c>
      <c r="D39" s="7">
        <v>143</v>
      </c>
      <c r="E39" s="7">
        <v>24</v>
      </c>
      <c r="F39" s="7">
        <f t="shared" si="0"/>
        <v>5</v>
      </c>
    </row>
    <row r="40" spans="2:6" x14ac:dyDescent="0.3">
      <c r="B40" s="7">
        <v>3</v>
      </c>
      <c r="C40" s="7">
        <v>147</v>
      </c>
      <c r="D40" s="7">
        <v>149</v>
      </c>
      <c r="E40" s="7">
        <v>25</v>
      </c>
      <c r="F40" s="7">
        <f t="shared" si="0"/>
        <v>3</v>
      </c>
    </row>
    <row r="41" spans="2:6" x14ac:dyDescent="0.3">
      <c r="B41" s="7"/>
      <c r="C41" s="7"/>
      <c r="D41" s="7"/>
      <c r="E41" s="7"/>
      <c r="F41" s="7"/>
    </row>
    <row r="42" spans="2:6" x14ac:dyDescent="0.3">
      <c r="B42" s="7">
        <v>4</v>
      </c>
      <c r="C42" s="7">
        <v>105</v>
      </c>
      <c r="D42" s="7">
        <v>112</v>
      </c>
      <c r="E42" s="7">
        <v>27</v>
      </c>
      <c r="F42" s="7">
        <f t="shared" si="0"/>
        <v>8</v>
      </c>
    </row>
    <row r="43" spans="2:6" x14ac:dyDescent="0.3">
      <c r="B43" s="7">
        <v>4</v>
      </c>
      <c r="C43" s="7">
        <v>118</v>
      </c>
      <c r="D43" s="7">
        <v>130</v>
      </c>
      <c r="E43" s="7">
        <v>28</v>
      </c>
      <c r="F43" s="7">
        <f t="shared" si="0"/>
        <v>13</v>
      </c>
    </row>
    <row r="44" spans="2:6" x14ac:dyDescent="0.3">
      <c r="B44" s="7">
        <v>4</v>
      </c>
      <c r="C44" s="7">
        <v>135</v>
      </c>
      <c r="D44" s="7">
        <v>145</v>
      </c>
      <c r="E44" s="7">
        <v>29</v>
      </c>
      <c r="F44" s="7">
        <f t="shared" si="0"/>
        <v>11</v>
      </c>
    </row>
    <row r="45" spans="2:6" x14ac:dyDescent="0.3">
      <c r="B45" s="7">
        <v>4</v>
      </c>
      <c r="C45" s="7">
        <v>147</v>
      </c>
      <c r="D45" s="7">
        <v>158</v>
      </c>
      <c r="E45" s="7">
        <v>30</v>
      </c>
      <c r="F45" s="7">
        <f t="shared" si="0"/>
        <v>12</v>
      </c>
    </row>
    <row r="46" spans="2:6" x14ac:dyDescent="0.3">
      <c r="B46" s="7">
        <v>4</v>
      </c>
      <c r="C46" s="7">
        <v>162</v>
      </c>
      <c r="D46" s="7">
        <v>174</v>
      </c>
      <c r="E46" s="7">
        <v>31</v>
      </c>
      <c r="F46" s="7">
        <f t="shared" si="0"/>
        <v>13</v>
      </c>
    </row>
    <row r="47" spans="2:6" x14ac:dyDescent="0.3">
      <c r="B47" s="7">
        <v>4</v>
      </c>
      <c r="C47" s="7">
        <v>177</v>
      </c>
      <c r="D47" s="7">
        <v>189</v>
      </c>
      <c r="E47" s="7">
        <v>32</v>
      </c>
      <c r="F47" s="7">
        <f t="shared" si="0"/>
        <v>13</v>
      </c>
    </row>
    <row r="48" spans="2:6" x14ac:dyDescent="0.3">
      <c r="B48" s="7">
        <v>4</v>
      </c>
      <c r="C48" s="7">
        <v>197</v>
      </c>
      <c r="D48" s="7">
        <v>197</v>
      </c>
      <c r="E48" s="7">
        <v>33</v>
      </c>
      <c r="F48" s="7">
        <f t="shared" si="0"/>
        <v>1</v>
      </c>
    </row>
    <row r="49" spans="2:6" x14ac:dyDescent="0.3">
      <c r="B49" s="7">
        <v>5</v>
      </c>
      <c r="C49" s="7">
        <v>150</v>
      </c>
      <c r="D49" s="7">
        <v>156</v>
      </c>
      <c r="E49" s="7">
        <v>34</v>
      </c>
      <c r="F49" s="7">
        <f t="shared" si="0"/>
        <v>7</v>
      </c>
    </row>
    <row r="50" spans="2:6" x14ac:dyDescent="0.3">
      <c r="B50" s="7">
        <v>5</v>
      </c>
      <c r="C50" s="7">
        <v>158</v>
      </c>
      <c r="D50" s="7">
        <v>165</v>
      </c>
      <c r="E50" s="7">
        <v>35</v>
      </c>
      <c r="F50" s="7">
        <f t="shared" si="0"/>
        <v>8</v>
      </c>
    </row>
    <row r="51" spans="2:6" x14ac:dyDescent="0.3">
      <c r="B51" s="7">
        <v>5</v>
      </c>
      <c r="C51" s="7">
        <v>166</v>
      </c>
      <c r="D51" s="7">
        <v>171</v>
      </c>
      <c r="E51" s="7">
        <v>36</v>
      </c>
      <c r="F51" s="7">
        <f t="shared" si="0"/>
        <v>6</v>
      </c>
    </row>
    <row r="52" spans="2:6" x14ac:dyDescent="0.3">
      <c r="B52" s="7">
        <v>5</v>
      </c>
      <c r="C52" s="7">
        <v>174</v>
      </c>
      <c r="D52" s="7">
        <v>181</v>
      </c>
      <c r="E52" s="7">
        <v>37</v>
      </c>
      <c r="F52" s="7">
        <f t="shared" si="0"/>
        <v>8</v>
      </c>
    </row>
    <row r="53" spans="2:6" x14ac:dyDescent="0.3">
      <c r="B53" s="7">
        <v>5</v>
      </c>
      <c r="C53" s="7">
        <v>182</v>
      </c>
      <c r="D53" s="7">
        <v>189</v>
      </c>
      <c r="E53" s="7">
        <v>38</v>
      </c>
      <c r="F53" s="7">
        <f t="shared" si="0"/>
        <v>8</v>
      </c>
    </row>
    <row r="54" spans="2:6" x14ac:dyDescent="0.3">
      <c r="B54" s="7">
        <v>5</v>
      </c>
      <c r="C54" s="7">
        <v>190</v>
      </c>
      <c r="D54" s="7">
        <v>197</v>
      </c>
      <c r="E54" s="7">
        <v>39</v>
      </c>
      <c r="F54" s="7">
        <f t="shared" si="0"/>
        <v>8</v>
      </c>
    </row>
    <row r="55" spans="2:6" x14ac:dyDescent="0.3">
      <c r="B55" s="7">
        <v>6</v>
      </c>
      <c r="C55" s="7">
        <v>200</v>
      </c>
      <c r="D55" s="7">
        <v>200</v>
      </c>
      <c r="E55" s="7">
        <v>50</v>
      </c>
      <c r="F55" s="7">
        <f t="shared" si="0"/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D813-11A2-4847-AA1A-8A3493795396}">
  <dimension ref="D7:H59"/>
  <sheetViews>
    <sheetView workbookViewId="0">
      <selection activeCell="H9" sqref="H9"/>
    </sheetView>
  </sheetViews>
  <sheetFormatPr defaultRowHeight="14.4" x14ac:dyDescent="0.3"/>
  <cols>
    <col min="5" max="5" width="34.5546875" customWidth="1"/>
    <col min="8" max="8" width="28.5546875" bestFit="1" customWidth="1"/>
  </cols>
  <sheetData>
    <row r="7" spans="4:8" x14ac:dyDescent="0.3">
      <c r="D7">
        <v>14</v>
      </c>
      <c r="E7">
        <v>48</v>
      </c>
      <c r="F7">
        <v>12</v>
      </c>
      <c r="G7">
        <v>40</v>
      </c>
      <c r="H7" s="1">
        <f>G7^F7</f>
        <v>1.6777216E+19</v>
      </c>
    </row>
    <row r="8" spans="4:8" x14ac:dyDescent="0.3">
      <c r="E8" s="1">
        <f>E7^D7</f>
        <v>3.4464923849799414E+23</v>
      </c>
      <c r="F8">
        <v>12</v>
      </c>
      <c r="G8" s="4">
        <v>38</v>
      </c>
      <c r="H8" s="1">
        <f>G8^F8</f>
        <v>9.0657379084949955E+18</v>
      </c>
    </row>
    <row r="9" spans="4:8" x14ac:dyDescent="0.3">
      <c r="E9" s="1">
        <f>2^64</f>
        <v>1.8446744073709552E+19</v>
      </c>
      <c r="H9" s="3" t="s">
        <v>5</v>
      </c>
    </row>
    <row r="10" spans="4:8" x14ac:dyDescent="0.3">
      <c r="D10">
        <v>49</v>
      </c>
      <c r="E10" s="1">
        <f>2^D10</f>
        <v>562949953421312</v>
      </c>
      <c r="H10" s="2">
        <f>SUM(E10:E59)</f>
        <v>1125899906842623</v>
      </c>
    </row>
    <row r="11" spans="4:8" x14ac:dyDescent="0.3">
      <c r="D11">
        <v>48</v>
      </c>
      <c r="E11" s="1">
        <f t="shared" ref="E11:E59" si="0">2^D11</f>
        <v>281474976710656</v>
      </c>
    </row>
    <row r="12" spans="4:8" x14ac:dyDescent="0.3">
      <c r="D12">
        <v>47</v>
      </c>
      <c r="E12" s="1">
        <f t="shared" si="0"/>
        <v>140737488355328</v>
      </c>
      <c r="H12" s="3" t="s">
        <v>5</v>
      </c>
    </row>
    <row r="13" spans="4:8" x14ac:dyDescent="0.3">
      <c r="D13">
        <v>46</v>
      </c>
      <c r="E13" s="1">
        <f t="shared" si="0"/>
        <v>70368744177664</v>
      </c>
    </row>
    <row r="14" spans="4:8" x14ac:dyDescent="0.3">
      <c r="D14">
        <v>45</v>
      </c>
      <c r="E14" s="1">
        <f t="shared" si="0"/>
        <v>35184372088832</v>
      </c>
    </row>
    <row r="15" spans="4:8" x14ac:dyDescent="0.3">
      <c r="D15">
        <v>44</v>
      </c>
      <c r="E15" s="1">
        <f t="shared" si="0"/>
        <v>17592186044416</v>
      </c>
    </row>
    <row r="16" spans="4:8" x14ac:dyDescent="0.3">
      <c r="D16">
        <v>43</v>
      </c>
      <c r="E16" s="1">
        <f t="shared" si="0"/>
        <v>8796093022208</v>
      </c>
    </row>
    <row r="17" spans="4:5" x14ac:dyDescent="0.3">
      <c r="D17">
        <v>42</v>
      </c>
      <c r="E17" s="1">
        <f t="shared" si="0"/>
        <v>4398046511104</v>
      </c>
    </row>
    <row r="18" spans="4:5" x14ac:dyDescent="0.3">
      <c r="D18">
        <v>41</v>
      </c>
      <c r="E18" s="1">
        <f t="shared" si="0"/>
        <v>2199023255552</v>
      </c>
    </row>
    <row r="19" spans="4:5" x14ac:dyDescent="0.3">
      <c r="D19">
        <v>40</v>
      </c>
      <c r="E19" s="1">
        <f t="shared" si="0"/>
        <v>1099511627776</v>
      </c>
    </row>
    <row r="20" spans="4:5" x14ac:dyDescent="0.3">
      <c r="D20">
        <v>39</v>
      </c>
      <c r="E20" s="1">
        <f t="shared" si="0"/>
        <v>549755813888</v>
      </c>
    </row>
    <row r="21" spans="4:5" x14ac:dyDescent="0.3">
      <c r="D21">
        <v>38</v>
      </c>
      <c r="E21" s="1">
        <f t="shared" si="0"/>
        <v>274877906944</v>
      </c>
    </row>
    <row r="22" spans="4:5" x14ac:dyDescent="0.3">
      <c r="D22">
        <v>37</v>
      </c>
      <c r="E22" s="1">
        <f t="shared" si="0"/>
        <v>137438953472</v>
      </c>
    </row>
    <row r="23" spans="4:5" x14ac:dyDescent="0.3">
      <c r="D23">
        <v>36</v>
      </c>
      <c r="E23" s="1">
        <f t="shared" si="0"/>
        <v>68719476736</v>
      </c>
    </row>
    <row r="24" spans="4:5" x14ac:dyDescent="0.3">
      <c r="D24">
        <v>35</v>
      </c>
      <c r="E24" s="1">
        <f t="shared" si="0"/>
        <v>34359738368</v>
      </c>
    </row>
    <row r="25" spans="4:5" x14ac:dyDescent="0.3">
      <c r="D25">
        <v>34</v>
      </c>
      <c r="E25" s="1">
        <f t="shared" si="0"/>
        <v>17179869184</v>
      </c>
    </row>
    <row r="26" spans="4:5" x14ac:dyDescent="0.3">
      <c r="D26">
        <v>33</v>
      </c>
      <c r="E26" s="1">
        <f t="shared" si="0"/>
        <v>8589934592</v>
      </c>
    </row>
    <row r="27" spans="4:5" x14ac:dyDescent="0.3">
      <c r="D27">
        <v>32</v>
      </c>
      <c r="E27" s="1">
        <f t="shared" si="0"/>
        <v>4294967296</v>
      </c>
    </row>
    <row r="28" spans="4:5" x14ac:dyDescent="0.3">
      <c r="D28">
        <v>31</v>
      </c>
      <c r="E28" s="1">
        <f t="shared" si="0"/>
        <v>2147483648</v>
      </c>
    </row>
    <row r="29" spans="4:5" x14ac:dyDescent="0.3">
      <c r="D29">
        <v>30</v>
      </c>
      <c r="E29" s="1">
        <f t="shared" si="0"/>
        <v>1073741824</v>
      </c>
    </row>
    <row r="30" spans="4:5" x14ac:dyDescent="0.3">
      <c r="D30">
        <v>29</v>
      </c>
      <c r="E30" s="1">
        <f t="shared" si="0"/>
        <v>536870912</v>
      </c>
    </row>
    <row r="31" spans="4:5" x14ac:dyDescent="0.3">
      <c r="D31">
        <v>28</v>
      </c>
      <c r="E31" s="1">
        <f t="shared" si="0"/>
        <v>268435456</v>
      </c>
    </row>
    <row r="32" spans="4:5" x14ac:dyDescent="0.3">
      <c r="D32">
        <v>27</v>
      </c>
      <c r="E32" s="1">
        <f t="shared" si="0"/>
        <v>134217728</v>
      </c>
    </row>
    <row r="33" spans="4:5" x14ac:dyDescent="0.3">
      <c r="D33">
        <v>26</v>
      </c>
      <c r="E33" s="1">
        <f t="shared" si="0"/>
        <v>67108864</v>
      </c>
    </row>
    <row r="34" spans="4:5" x14ac:dyDescent="0.3">
      <c r="D34">
        <v>25</v>
      </c>
      <c r="E34" s="1">
        <f t="shared" si="0"/>
        <v>33554432</v>
      </c>
    </row>
    <row r="35" spans="4:5" x14ac:dyDescent="0.3">
      <c r="D35">
        <v>24</v>
      </c>
      <c r="E35" s="1">
        <f t="shared" si="0"/>
        <v>16777216</v>
      </c>
    </row>
    <row r="36" spans="4:5" x14ac:dyDescent="0.3">
      <c r="D36">
        <v>23</v>
      </c>
      <c r="E36" s="1">
        <f t="shared" si="0"/>
        <v>8388608</v>
      </c>
    </row>
    <row r="37" spans="4:5" x14ac:dyDescent="0.3">
      <c r="D37">
        <v>22</v>
      </c>
      <c r="E37" s="1">
        <f t="shared" si="0"/>
        <v>4194304</v>
      </c>
    </row>
    <row r="38" spans="4:5" x14ac:dyDescent="0.3">
      <c r="D38">
        <v>21</v>
      </c>
      <c r="E38" s="1">
        <f t="shared" si="0"/>
        <v>2097152</v>
      </c>
    </row>
    <row r="39" spans="4:5" x14ac:dyDescent="0.3">
      <c r="D39">
        <v>20</v>
      </c>
      <c r="E39" s="1">
        <f t="shared" si="0"/>
        <v>1048576</v>
      </c>
    </row>
    <row r="40" spans="4:5" x14ac:dyDescent="0.3">
      <c r="D40">
        <v>19</v>
      </c>
      <c r="E40" s="1">
        <f t="shared" si="0"/>
        <v>524288</v>
      </c>
    </row>
    <row r="41" spans="4:5" x14ac:dyDescent="0.3">
      <c r="D41">
        <v>18</v>
      </c>
      <c r="E41" s="1">
        <f t="shared" si="0"/>
        <v>262144</v>
      </c>
    </row>
    <row r="42" spans="4:5" x14ac:dyDescent="0.3">
      <c r="D42">
        <v>17</v>
      </c>
      <c r="E42" s="1">
        <f t="shared" si="0"/>
        <v>131072</v>
      </c>
    </row>
    <row r="43" spans="4:5" x14ac:dyDescent="0.3">
      <c r="D43">
        <v>16</v>
      </c>
      <c r="E43" s="1">
        <f t="shared" si="0"/>
        <v>65536</v>
      </c>
    </row>
    <row r="44" spans="4:5" x14ac:dyDescent="0.3">
      <c r="D44">
        <v>15</v>
      </c>
      <c r="E44" s="1">
        <f t="shared" si="0"/>
        <v>32768</v>
      </c>
    </row>
    <row r="45" spans="4:5" x14ac:dyDescent="0.3">
      <c r="D45">
        <v>14</v>
      </c>
      <c r="E45" s="1">
        <f t="shared" si="0"/>
        <v>16384</v>
      </c>
    </row>
    <row r="46" spans="4:5" x14ac:dyDescent="0.3">
      <c r="D46">
        <v>13</v>
      </c>
      <c r="E46" s="1">
        <f t="shared" si="0"/>
        <v>8192</v>
      </c>
    </row>
    <row r="47" spans="4:5" x14ac:dyDescent="0.3">
      <c r="D47">
        <v>12</v>
      </c>
      <c r="E47" s="1">
        <f t="shared" si="0"/>
        <v>4096</v>
      </c>
    </row>
    <row r="48" spans="4:5" x14ac:dyDescent="0.3">
      <c r="D48">
        <v>11</v>
      </c>
      <c r="E48" s="1">
        <f t="shared" si="0"/>
        <v>2048</v>
      </c>
    </row>
    <row r="49" spans="4:5" x14ac:dyDescent="0.3">
      <c r="D49">
        <v>10</v>
      </c>
      <c r="E49" s="1">
        <f t="shared" si="0"/>
        <v>1024</v>
      </c>
    </row>
    <row r="50" spans="4:5" x14ac:dyDescent="0.3">
      <c r="D50">
        <v>9</v>
      </c>
      <c r="E50" s="1">
        <f t="shared" si="0"/>
        <v>512</v>
      </c>
    </row>
    <row r="51" spans="4:5" x14ac:dyDescent="0.3">
      <c r="D51">
        <v>8</v>
      </c>
      <c r="E51" s="1">
        <f t="shared" si="0"/>
        <v>256</v>
      </c>
    </row>
    <row r="52" spans="4:5" x14ac:dyDescent="0.3">
      <c r="D52">
        <v>7</v>
      </c>
      <c r="E52" s="1">
        <f t="shared" si="0"/>
        <v>128</v>
      </c>
    </row>
    <row r="53" spans="4:5" x14ac:dyDescent="0.3">
      <c r="D53">
        <v>6</v>
      </c>
      <c r="E53" s="1">
        <f t="shared" si="0"/>
        <v>64</v>
      </c>
    </row>
    <row r="54" spans="4:5" x14ac:dyDescent="0.3">
      <c r="D54">
        <v>5</v>
      </c>
      <c r="E54" s="1">
        <f t="shared" si="0"/>
        <v>32</v>
      </c>
    </row>
    <row r="55" spans="4:5" x14ac:dyDescent="0.3">
      <c r="D55">
        <v>4</v>
      </c>
      <c r="E55" s="1">
        <f t="shared" si="0"/>
        <v>16</v>
      </c>
    </row>
    <row r="56" spans="4:5" x14ac:dyDescent="0.3">
      <c r="D56">
        <v>3</v>
      </c>
      <c r="E56" s="1">
        <f t="shared" si="0"/>
        <v>8</v>
      </c>
    </row>
    <row r="57" spans="4:5" x14ac:dyDescent="0.3">
      <c r="D57">
        <v>2</v>
      </c>
      <c r="E57" s="1">
        <f t="shared" si="0"/>
        <v>4</v>
      </c>
    </row>
    <row r="58" spans="4:5" x14ac:dyDescent="0.3">
      <c r="D58">
        <v>1</v>
      </c>
      <c r="E58" s="1">
        <f t="shared" si="0"/>
        <v>2</v>
      </c>
    </row>
    <row r="59" spans="4:5" x14ac:dyDescent="0.3">
      <c r="D59">
        <v>0</v>
      </c>
      <c r="E59" s="1">
        <f t="shared" si="0"/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5A00-19CE-473A-802E-3A62EE6F2F72}">
  <dimension ref="B5:Q18"/>
  <sheetViews>
    <sheetView workbookViewId="0">
      <selection activeCell="F16" sqref="F16"/>
    </sheetView>
  </sheetViews>
  <sheetFormatPr defaultRowHeight="14.4" x14ac:dyDescent="0.3"/>
  <cols>
    <col min="14" max="14" width="12.44140625" bestFit="1" customWidth="1"/>
    <col min="17" max="17" width="12.44140625" bestFit="1" customWidth="1"/>
  </cols>
  <sheetData>
    <row r="5" spans="2:17" x14ac:dyDescent="0.3">
      <c r="C5">
        <v>0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</row>
    <row r="6" spans="2:17" x14ac:dyDescent="0.3">
      <c r="B6">
        <v>48</v>
      </c>
      <c r="C6">
        <v>0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0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</row>
    <row r="7" spans="2:17" x14ac:dyDescent="0.3">
      <c r="C7">
        <f t="shared" ref="C7:P7" si="0">C6*48^C5</f>
        <v>0</v>
      </c>
      <c r="D7">
        <f t="shared" si="0"/>
        <v>192</v>
      </c>
      <c r="E7">
        <f t="shared" si="0"/>
        <v>9216</v>
      </c>
      <c r="F7">
        <f t="shared" si="0"/>
        <v>442368</v>
      </c>
      <c r="G7">
        <f t="shared" si="0"/>
        <v>21233664</v>
      </c>
      <c r="H7">
        <f t="shared" si="0"/>
        <v>1019215872</v>
      </c>
      <c r="I7">
        <f t="shared" si="0"/>
        <v>48922361856</v>
      </c>
      <c r="J7">
        <f t="shared" si="0"/>
        <v>0</v>
      </c>
      <c r="K7">
        <f t="shared" si="0"/>
        <v>112717121716224</v>
      </c>
      <c r="L7">
        <f t="shared" si="0"/>
        <v>5410421842378752</v>
      </c>
      <c r="M7">
        <f t="shared" si="0"/>
        <v>2.597002484341801E+17</v>
      </c>
      <c r="N7">
        <f t="shared" si="0"/>
        <v>1.2465611924840645E+19</v>
      </c>
      <c r="O7">
        <f t="shared" si="0"/>
        <v>5.9834937239235094E+20</v>
      </c>
      <c r="P7">
        <f t="shared" si="0"/>
        <v>2.8720769874832845E+22</v>
      </c>
      <c r="Q7">
        <f>SUM(C7:P7)</f>
        <v>2.9331850082587398E+22</v>
      </c>
    </row>
    <row r="10" spans="2:17" x14ac:dyDescent="0.3"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</row>
    <row r="11" spans="2:17" x14ac:dyDescent="0.3">
      <c r="B11">
        <v>32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</row>
    <row r="12" spans="2:17" x14ac:dyDescent="0.3">
      <c r="C12">
        <f>C11*$B$11^C10</f>
        <v>4</v>
      </c>
      <c r="D12">
        <f t="shared" ref="D12:N12" si="1">D11*$B$11^D10</f>
        <v>128</v>
      </c>
      <c r="E12">
        <f t="shared" si="1"/>
        <v>4096</v>
      </c>
      <c r="F12">
        <f t="shared" si="1"/>
        <v>131072</v>
      </c>
      <c r="G12">
        <f t="shared" si="1"/>
        <v>4194304</v>
      </c>
      <c r="H12">
        <f t="shared" si="1"/>
        <v>134217728</v>
      </c>
      <c r="I12">
        <f t="shared" si="1"/>
        <v>4294967296</v>
      </c>
      <c r="J12">
        <f t="shared" si="1"/>
        <v>137438953472</v>
      </c>
      <c r="K12">
        <f t="shared" si="1"/>
        <v>4398046511104</v>
      </c>
      <c r="L12">
        <f t="shared" si="1"/>
        <v>140737488355328</v>
      </c>
      <c r="M12">
        <f t="shared" si="1"/>
        <v>4503599627370496</v>
      </c>
      <c r="N12">
        <f t="shared" si="1"/>
        <v>1.4411518807585587E+17</v>
      </c>
    </row>
    <row r="13" spans="2:17" x14ac:dyDescent="0.3">
      <c r="N13">
        <f>SUM(N12)</f>
        <v>1.4411518807585587E+17</v>
      </c>
    </row>
    <row r="15" spans="2:17" x14ac:dyDescent="0.3">
      <c r="N15">
        <f>2^64</f>
        <v>1.8446744073709552E+19</v>
      </c>
    </row>
    <row r="16" spans="2:17" x14ac:dyDescent="0.3">
      <c r="E16">
        <f>6*14</f>
        <v>84</v>
      </c>
      <c r="F16">
        <f>5*12</f>
        <v>60</v>
      </c>
      <c r="G16">
        <f>2*6</f>
        <v>12</v>
      </c>
      <c r="N16">
        <f>2^53</f>
        <v>9007199254740992</v>
      </c>
    </row>
    <row r="17" spans="5:7" x14ac:dyDescent="0.3">
      <c r="E17">
        <f>E16/8</f>
        <v>10.5</v>
      </c>
      <c r="G17">
        <f>G16+F16</f>
        <v>72</v>
      </c>
    </row>
    <row r="18" spans="5:7" x14ac:dyDescent="0.3">
      <c r="G18">
        <f>G17/8</f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D075-DF52-429C-B628-C5672A3A51F3}">
  <dimension ref="C5:J12"/>
  <sheetViews>
    <sheetView workbookViewId="0">
      <selection activeCell="F12" sqref="F12"/>
    </sheetView>
  </sheetViews>
  <sheetFormatPr defaultRowHeight="14.4" x14ac:dyDescent="0.3"/>
  <cols>
    <col min="3" max="3" width="14.33203125" bestFit="1" customWidth="1"/>
    <col min="9" max="9" width="11.44140625" bestFit="1" customWidth="1"/>
    <col min="10" max="10" width="12" bestFit="1" customWidth="1"/>
  </cols>
  <sheetData>
    <row r="5" spans="3:10" x14ac:dyDescent="0.3">
      <c r="C5" t="s">
        <v>18</v>
      </c>
    </row>
    <row r="6" spans="3:10" x14ac:dyDescent="0.3">
      <c r="C6" t="s">
        <v>8</v>
      </c>
      <c r="D6" t="s">
        <v>9</v>
      </c>
      <c r="E6" t="s">
        <v>16</v>
      </c>
    </row>
    <row r="7" spans="3:10" x14ac:dyDescent="0.3">
      <c r="C7" t="s">
        <v>6</v>
      </c>
      <c r="D7" t="s">
        <v>7</v>
      </c>
      <c r="E7">
        <v>16</v>
      </c>
      <c r="F7" s="6" t="s">
        <v>19</v>
      </c>
      <c r="G7" t="s">
        <v>20</v>
      </c>
      <c r="H7" s="6" t="s">
        <v>21</v>
      </c>
    </row>
    <row r="8" spans="3:10" x14ac:dyDescent="0.3">
      <c r="C8" t="s">
        <v>10</v>
      </c>
      <c r="D8" t="s">
        <v>11</v>
      </c>
      <c r="E8">
        <v>1</v>
      </c>
      <c r="J8">
        <f>2^32</f>
        <v>4294967296</v>
      </c>
    </row>
    <row r="9" spans="3:10" x14ac:dyDescent="0.3">
      <c r="C9" t="s">
        <v>12</v>
      </c>
      <c r="D9" t="s">
        <v>13</v>
      </c>
      <c r="E9">
        <v>1</v>
      </c>
      <c r="I9">
        <v>5368709119</v>
      </c>
      <c r="J9">
        <f>4*2^30</f>
        <v>4294967296</v>
      </c>
    </row>
    <row r="10" spans="3:10" x14ac:dyDescent="0.3">
      <c r="C10" t="s">
        <v>14</v>
      </c>
      <c r="D10" t="s">
        <v>15</v>
      </c>
      <c r="E10">
        <v>40</v>
      </c>
    </row>
    <row r="11" spans="3:10" x14ac:dyDescent="0.3">
      <c r="E11">
        <f>SUM(E7:E10)</f>
        <v>58</v>
      </c>
      <c r="J11" s="5">
        <f>J9/E11</f>
        <v>74051160.275862068</v>
      </c>
    </row>
    <row r="12" spans="3:10" x14ac:dyDescent="0.3">
      <c r="C12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Iron 1</vt:lpstr>
      <vt:lpstr>Planilha2</vt:lpstr>
      <vt:lpstr>Planilha3</vt:lpstr>
      <vt:lpstr>Planilha4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Fink, Fernando</dc:creator>
  <cp:lastModifiedBy>FERNANDO KASPARY FINK</cp:lastModifiedBy>
  <dcterms:created xsi:type="dcterms:W3CDTF">2025-06-10T16:53:56Z</dcterms:created>
  <dcterms:modified xsi:type="dcterms:W3CDTF">2025-07-11T11:34:52Z</dcterms:modified>
</cp:coreProperties>
</file>